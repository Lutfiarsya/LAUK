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<sst xmlns="http://schemas.openxmlformats.org/spreadsheetml/2006/main" count="118" uniqueCount="92">
  <si>
    <t>Id</t>
  </si>
  <si>
    <t>Barcode</t>
  </si>
  <si>
    <t>Nama ProdukClass</t>
  </si>
  <si>
    <t>Nama Produk</t>
  </si>
  <si>
    <t>Brand</t>
  </si>
  <si>
    <t>Kategori</t>
  </si>
  <si>
    <t>Komposisi</t>
  </si>
  <si>
    <t>Ukuran (ml)</t>
  </si>
  <si>
    <t>Energi (kcal/100g)</t>
  </si>
  <si>
    <t>Gula (g/100g)</t>
  </si>
  <si>
    <t>Garam/Natrium (g/100g)</t>
  </si>
  <si>
    <t>Lemak (g/100g)</t>
  </si>
  <si>
    <t>Protein (g/100g)</t>
  </si>
  <si>
    <t>Karbohidrat (g/100g)</t>
  </si>
  <si>
    <t>Grade</t>
  </si>
  <si>
    <t>TehPucukLessSugar350ml</t>
  </si>
  <si>
    <t>Teh Pucuk Less Sugar</t>
  </si>
  <si>
    <t>Mayora</t>
  </si>
  <si>
    <t>Teh</t>
  </si>
  <si>
    <t>Water, Sugar, Jasmine Tea Leaves (Tea Leaves (90%)+ Jasmine (10%) Jasmine Synthetic Flavor, Stabilizer. No Artificial Sweeteners, No Preservatives, and No Synthetic Coloring.</t>
  </si>
  <si>
    <t>B</t>
  </si>
  <si>
    <t>TehKotakBlackcurrant300ml</t>
  </si>
  <si>
    <t>Teh Kotak Blackcurrant</t>
  </si>
  <si>
    <t>Ultrajaya</t>
  </si>
  <si>
    <t>Air, Gula, Daun Teh (0,4%), Pengatur Keasaman (Asam Sitrat, Natrium Sitrat), Perisa Sintetik Blackcurrant (mengandung pewarna alami karamel kelas IV), Antioksidan (Asam Askorbat)</t>
  </si>
  <si>
    <t>TehKotakLeci300ml</t>
  </si>
  <si>
    <t xml:space="preserve">Teh Kotak Leci </t>
  </si>
  <si>
    <t>Air, Gula, Daun teh (0,4%). Asam sitrat (E330 / pengatur keasaman), Natrium sitrat (E331 / pengatur keasaman), Perisa leci, Asam askorbat</t>
  </si>
  <si>
    <t>TehKotakLessSugar300ml</t>
  </si>
  <si>
    <t>Teh Kotak Less Sugar</t>
  </si>
  <si>
    <t xml:space="preserve">Air (air segar dan air mineral), Ekstrak daun teh bermutu tinggi (daun teh asli), Gula / Sukrosa (dengan kandungan lebih sedikit dibanding varian original), Bunga melati </t>
  </si>
  <si>
    <t>TehKotak300ml</t>
  </si>
  <si>
    <t>Teh Kotak</t>
  </si>
  <si>
    <t>Air, Gula / Sukrosa, Ekstrak daun teh segar, Bunga melati (jasmine), Mineral air segar</t>
  </si>
  <si>
    <t>TehPucuk350ml</t>
  </si>
  <si>
    <t xml:space="preserve">Teh Pucuk </t>
  </si>
  <si>
    <t>Air, Gula, Teh melati (campuran daun teh dan bunga melati, sekitar 0,5%), Perisa bunga melati (identik alami atau sintetik), Penstabil</t>
  </si>
  <si>
    <t>D</t>
  </si>
  <si>
    <t>TehGelas350ml</t>
  </si>
  <si>
    <t>Teh Gelas Botol</t>
  </si>
  <si>
    <t>Air, Gula asli, Seduhan Daun Teh Hijau dengan Bunga Melati (menghasilkan aroma teh melati khas yang menenangkan), Pengatur Keasaman, Perisa Sintetik / Alami, Garam, Pengawet</t>
  </si>
  <si>
    <t>ABCChocoMaltCoffee</t>
  </si>
  <si>
    <t>Kopi ABC Chocolate Malt</t>
  </si>
  <si>
    <t>Kopi Insant</t>
  </si>
  <si>
    <t>Air, Gula, Krimer nabati, Kopi instan (1,4%), Susu bubuk full cream (1%), Penstabil nabati, Bubuk malt (0,09%), Perisa sintetik cokelat, Kakao bubuk (0,05%)</t>
  </si>
  <si>
    <t>CaffinoOutMarieLatte</t>
  </si>
  <si>
    <t>Kopi Caffino Out Marie Latte</t>
  </si>
  <si>
    <t>Air, Gula, Krimer Minuman, Kopi Bubuk Instan (1.2%), Krimer Oat (1%, mengandung Bubuk Oat 13.5%), Susu Full Cream Bubuk (1.0%), Penstabil Nabati dan Fosfat, Perisa Sintetik, Kakao Bubuk, Garam</t>
  </si>
  <si>
    <t>KopkenMatchaEspresso</t>
  </si>
  <si>
    <t>Kopi Kenangan Matcha Espresso</t>
  </si>
  <si>
    <t>Air, Gula (17 gram per sajian), Pengawet Sulfit, Perisa Minuman, Susu Skim Bubuk (0,8%), Kopi Instan (0,8%), Penstabil Nabati, Pengatur Keasaman, Bubuk Matcha (0,07%), Perisa Sintetik, Pengemulsi Nabati, Garam (160 mg per sajian / Natrium), Antioksidan Tokoferol</t>
  </si>
  <si>
    <t>PointGoldenCaramel</t>
  </si>
  <si>
    <t>Kopi Point Golden Caramel</t>
  </si>
  <si>
    <t>Air, Kopi, Susu, dan Sirup/rasa karamel</t>
  </si>
  <si>
    <t>IchiOchaTehHijau</t>
  </si>
  <si>
    <t>Ichi Ocha Teh Hijau</t>
  </si>
  <si>
    <t>Air, Gula, Daun teh hijau (sekitar 0,5%), Pengatur keasaman, Antioksidan (asam askorbat / vitamin C), Perisa sintetik</t>
  </si>
  <si>
    <t>E</t>
  </si>
  <si>
    <t>GoodDayTiramisu</t>
  </si>
  <si>
    <t>Good Day Tiramisu</t>
  </si>
  <si>
    <t>Air, Gula, Krimer nabati, Kopi instan (1%), Susu bubuk skim, Kakao bubuk, Penstabil nabati, Perisa sintetik</t>
  </si>
  <si>
    <t>GoodDayFuntasticMoccacino</t>
  </si>
  <si>
    <t>Good Day Funtastic Mocaccino</t>
  </si>
  <si>
    <t>Air, Gula, Krimer nabati, Kopi instan (1,05%), Susu bubuk skim, Penstabil nabati, Perisa sintetik moka, Kakao bubuk</t>
  </si>
  <si>
    <t>GoodDayCappucino</t>
  </si>
  <si>
    <t>Good Day Cappucino</t>
  </si>
  <si>
    <t>Air, Gula, Krimer nabati, Kopi instan (1%), Susu bubuk skim, Kakao bubuk, Penstabil nabati, Perisa sintetik cappuccino</t>
  </si>
  <si>
    <t>Kopiko78</t>
  </si>
  <si>
    <t>Kopiko 78</t>
  </si>
  <si>
    <t>Air, Gula, Ekstrak Kopi(4%), Susu Bubuk Skim(3,10%),Lemak susu anhidrat</t>
  </si>
  <si>
    <t>NescafeIceBlack</t>
  </si>
  <si>
    <t>Nescafe Ice Black</t>
  </si>
  <si>
    <t>Air, Gula, Kopi bubuk instan (1,2%), Pengatur keasaman, Penstabil, Perisa sintetik</t>
  </si>
  <si>
    <t>NescafeCappucino</t>
  </si>
  <si>
    <t>Nescafe Cappucino</t>
  </si>
  <si>
    <t>Air, Gula, Krimer nabati (mengandung susu), Susu skim bubuk, Kopi bubuk instan (0.9%), Penstabil nabati, Perisa sintetik, Pengatur keasaman</t>
  </si>
  <si>
    <t>UltramilkUHTCoklat</t>
  </si>
  <si>
    <t>Susu UHT Coklat</t>
  </si>
  <si>
    <t>Susu</t>
  </si>
  <si>
    <t>Air, Susu Segar (90%), Gula, Susu Bubuk Utuh, Susu Bubuk Skim, Bubuk Kakao (0,75%), Penstabil Nabati, Perisa Cokelat Sintetis (Mengandung Pewarna Alami Karamel Kelas MV), Garam. Tidak Mengandung Pengawet, Pemanis Buatan, dan Pewarna Sintetis.</t>
  </si>
  <si>
    <t>UltramilkUHTStrawberry</t>
  </si>
  <si>
    <t>Susu UHT Strawberry</t>
  </si>
  <si>
    <t>Air, Susu Sapi Segar (90%), Susu Skim Bubuk, Sukrosa, Susu Bubuk Full Cream, Penstabil Nabati, Perisa Sintetik (Stroberi &amp; Raspberi), Garam, dan Pewarna Alami Karmin CI 75470 (tanpa pengawet dan pemanis buatan)</t>
  </si>
  <si>
    <t>CimoryFreshMilkCashew</t>
  </si>
  <si>
    <t>Cimory Fresh Milk Cashew</t>
  </si>
  <si>
    <t>Air, Susu sapi segar (20%), Gula, Susu bubuk full cream, Padatan susu, Susu skim bubuk, Kakao bubuk, Penstabil (nabati dan natrium sitrat), Premiks vitamin, Bubuk kacang mede (0,05%), Perisa sintetik kacang mede</t>
  </si>
  <si>
    <t>CimoryFreshAlmondMilk</t>
  </si>
  <si>
    <t>Cimory Fresh Almond Milk</t>
  </si>
  <si>
    <t>Air, Susu Rekombinasi 93% ( susu sapi segar 22%), Susu Bubuk Full Cream, Padatan Susu, Susu Skim, Gula, Kakao Bubuk(1%), Penstabil Nabati, Perisa Sintetik, Premiks Vitamin, Perisa Alami, Kacang Almond Bubuk (0,001%)</t>
  </si>
  <si>
    <t>CimoryFreshMilkMarie</t>
  </si>
  <si>
    <t>Cimory Fresh Milk Marie</t>
  </si>
  <si>
    <t>Air, Susu sapi segar (20%), Susu bubuk full cream, Gula, Padatan susu (milk solids), Susu skim bubuk, Penstabil, Remahan biskuit Marie (0.1%, mengandung telur), Premiks vitamin,. Perisa sintetik biskuit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</si>
</sst>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2.0"/>
      <color theme="1"/>
      <name val="Times New Roman"/>
    </font>
    <font>
      <sz val="12.0"/>
      <color rgb="FF000000"/>
      <name val="Times New Roman"/>
    </font>
    <font>
      <color theme="1"/>
      <name val="Arial"/>
      <scheme val="minor"/>
    </font>
    <font>
      <sz val="12.0"/>
      <color rgb="FF222222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4" xfId="0" applyAlignment="1" applyFont="1" applyNumberFormat="1">
      <alignment horizontal="right" vertical="bottom"/>
    </xf>
    <xf borderId="0" fillId="0" fontId="1" numFmtId="4" xfId="0" applyAlignment="1" applyFont="1" applyNumberFormat="1">
      <alignment readingOrder="0"/>
    </xf>
    <xf borderId="0" fillId="2" fontId="4" numFmtId="0" xfId="0" applyAlignment="1" applyFill="1" applyFont="1">
      <alignment readingOrder="0"/>
    </xf>
    <xf borderId="0" fillId="0" fontId="1" numFmtId="0" xfId="0" applyAlignment="1" applyFont="1">
      <alignment horizontal="right" readingOrder="0" vertical="bottom"/>
    </xf>
    <xf borderId="0" fillId="0" fontId="1" numFmtId="4" xfId="0" applyAlignment="1" applyFont="1" applyNumberFormat="1">
      <alignment horizontal="right" readingOrder="0" vertical="bottom"/>
    </xf>
    <xf borderId="0" fillId="0" fontId="1" numFmtId="0" xfId="0" applyFont="1"/>
    <xf borderId="0" fillId="0" fontId="1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75"/>
    <col customWidth="1" min="3" max="4" width="30.88"/>
    <col customWidth="1" min="6" max="6" width="23.38"/>
    <col customWidth="1" min="7" max="7" width="135.25"/>
    <col customWidth="1" min="9" max="9" width="20.13"/>
    <col customWidth="1" min="10" max="10" width="21.0"/>
    <col customWidth="1" min="11" max="11" width="21.75"/>
    <col customWidth="1" min="12" max="12" width="26.13"/>
    <col customWidth="1" min="13" max="13" width="24.63"/>
    <col customWidth="1" min="14" max="14" width="21.0"/>
    <col customWidth="1" min="15" max="15" width="27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 t="s">
        <v>14</v>
      </c>
      <c r="P1" s="3"/>
    </row>
    <row r="2">
      <c r="A2" s="1">
        <v>1.0</v>
      </c>
      <c r="B2" s="4">
        <v>8.996001600252E12</v>
      </c>
      <c r="C2" s="1" t="s">
        <v>15</v>
      </c>
      <c r="D2" s="1" t="s">
        <v>16</v>
      </c>
      <c r="E2" s="1" t="s">
        <v>17</v>
      </c>
      <c r="F2" s="5" t="s">
        <v>18</v>
      </c>
      <c r="G2" s="6" t="s">
        <v>19</v>
      </c>
      <c r="H2" s="1">
        <v>350.0</v>
      </c>
      <c r="I2" s="7">
        <v>18.75</v>
      </c>
      <c r="J2" s="8">
        <v>5.0</v>
      </c>
      <c r="K2" s="8">
        <v>0.0416666666666667</v>
      </c>
      <c r="L2" s="8">
        <v>0.0</v>
      </c>
      <c r="M2" s="8">
        <v>0.0</v>
      </c>
      <c r="N2" s="8">
        <v>5.0</v>
      </c>
      <c r="O2" s="1" t="s">
        <v>20</v>
      </c>
    </row>
    <row r="3">
      <c r="A3" s="1">
        <v>2.0</v>
      </c>
      <c r="B3" s="4"/>
      <c r="C3" s="1" t="s">
        <v>21</v>
      </c>
      <c r="D3" s="1" t="s">
        <v>22</v>
      </c>
      <c r="E3" s="5" t="s">
        <v>23</v>
      </c>
      <c r="F3" s="5" t="s">
        <v>18</v>
      </c>
      <c r="G3" s="1" t="s">
        <v>24</v>
      </c>
      <c r="H3" s="1">
        <v>300.0</v>
      </c>
      <c r="I3" s="1">
        <v>100.0</v>
      </c>
      <c r="J3" s="9">
        <v>21.0</v>
      </c>
      <c r="K3" s="9">
        <v>50.0</v>
      </c>
      <c r="L3" s="9">
        <v>0.0</v>
      </c>
      <c r="M3" s="9">
        <v>0.0</v>
      </c>
      <c r="N3" s="9">
        <v>24.0</v>
      </c>
      <c r="O3" s="4"/>
    </row>
    <row r="4">
      <c r="A4" s="1">
        <v>3.0</v>
      </c>
      <c r="B4" s="4"/>
      <c r="C4" s="1" t="s">
        <v>25</v>
      </c>
      <c r="D4" s="1" t="s">
        <v>26</v>
      </c>
      <c r="E4" s="5" t="s">
        <v>23</v>
      </c>
      <c r="F4" s="5" t="s">
        <v>18</v>
      </c>
      <c r="G4" s="1" t="s">
        <v>27</v>
      </c>
      <c r="H4" s="1">
        <v>300.0</v>
      </c>
      <c r="I4" s="1">
        <v>100.0</v>
      </c>
      <c r="J4" s="9">
        <v>22.0</v>
      </c>
      <c r="K4" s="9">
        <v>45.0</v>
      </c>
      <c r="L4" s="9">
        <v>0.0</v>
      </c>
      <c r="M4" s="9">
        <v>0.0</v>
      </c>
      <c r="N4" s="9">
        <v>25.0</v>
      </c>
      <c r="O4" s="4"/>
    </row>
    <row r="5">
      <c r="A5" s="1">
        <v>4.0</v>
      </c>
      <c r="B5" s="4"/>
      <c r="C5" s="1" t="s">
        <v>28</v>
      </c>
      <c r="D5" s="1" t="s">
        <v>29</v>
      </c>
      <c r="E5" s="5" t="s">
        <v>23</v>
      </c>
      <c r="F5" s="5" t="s">
        <v>18</v>
      </c>
      <c r="G5" s="1" t="s">
        <v>30</v>
      </c>
      <c r="H5" s="1">
        <v>300.0</v>
      </c>
      <c r="I5" s="1">
        <v>100.0</v>
      </c>
      <c r="J5" s="9">
        <v>20.0</v>
      </c>
      <c r="K5" s="9">
        <v>25.0</v>
      </c>
      <c r="L5" s="9">
        <v>0.0</v>
      </c>
      <c r="M5" s="9">
        <v>0.0</v>
      </c>
      <c r="N5" s="9">
        <v>23.0</v>
      </c>
      <c r="O5" s="4"/>
    </row>
    <row r="6">
      <c r="A6" s="1">
        <v>5.0</v>
      </c>
      <c r="B6" s="4">
        <v>8.998009040023E12</v>
      </c>
      <c r="C6" s="1" t="s">
        <v>31</v>
      </c>
      <c r="D6" s="1" t="s">
        <v>32</v>
      </c>
      <c r="E6" s="5" t="s">
        <v>23</v>
      </c>
      <c r="F6" s="5" t="s">
        <v>18</v>
      </c>
      <c r="G6" s="1" t="s">
        <v>33</v>
      </c>
      <c r="H6" s="1">
        <v>300.0</v>
      </c>
      <c r="I6" s="7">
        <v>70.0</v>
      </c>
      <c r="J6" s="8">
        <v>16.0</v>
      </c>
      <c r="K6" s="8">
        <v>0.025</v>
      </c>
      <c r="L6" s="8">
        <v>0.0</v>
      </c>
      <c r="M6" s="8">
        <v>0.0</v>
      </c>
      <c r="N6" s="8">
        <v>18.0</v>
      </c>
      <c r="O6" s="4"/>
    </row>
    <row r="7">
      <c r="A7" s="1">
        <v>6.0</v>
      </c>
      <c r="B7" s="10">
        <v>8.996001600146E12</v>
      </c>
      <c r="C7" s="1" t="s">
        <v>34</v>
      </c>
      <c r="D7" s="1" t="s">
        <v>35</v>
      </c>
      <c r="E7" s="5" t="s">
        <v>17</v>
      </c>
      <c r="F7" s="5" t="s">
        <v>18</v>
      </c>
      <c r="G7" s="5" t="s">
        <v>36</v>
      </c>
      <c r="H7" s="1">
        <v>350.0</v>
      </c>
      <c r="I7" s="11">
        <v>29.0</v>
      </c>
      <c r="J7" s="11">
        <f>MULTIPLY(7.5,3.5)</f>
        <v>26.25</v>
      </c>
      <c r="K7" s="12">
        <v>0.04</v>
      </c>
      <c r="L7" s="8">
        <v>0.0</v>
      </c>
      <c r="M7" s="8">
        <v>0.0</v>
      </c>
      <c r="N7" s="12">
        <v>7.5</v>
      </c>
      <c r="O7" s="1" t="s">
        <v>37</v>
      </c>
    </row>
    <row r="8">
      <c r="A8" s="1">
        <v>7.0</v>
      </c>
      <c r="B8" s="4">
        <v>8.991102228053E12</v>
      </c>
      <c r="C8" s="1" t="s">
        <v>38</v>
      </c>
      <c r="D8" s="1" t="s">
        <v>39</v>
      </c>
      <c r="E8" s="1" t="s">
        <v>17</v>
      </c>
      <c r="F8" s="5" t="s">
        <v>18</v>
      </c>
      <c r="G8" s="1" t="s">
        <v>40</v>
      </c>
      <c r="H8" s="1">
        <v>350.0</v>
      </c>
      <c r="I8" s="7">
        <v>10.0</v>
      </c>
      <c r="J8" s="8">
        <v>16.0</v>
      </c>
      <c r="K8" s="8">
        <v>0.0075</v>
      </c>
      <c r="L8" s="8">
        <v>0.0</v>
      </c>
      <c r="M8" s="8">
        <v>0.0</v>
      </c>
      <c r="N8" s="8">
        <v>18.0</v>
      </c>
      <c r="O8" s="4"/>
    </row>
    <row r="9">
      <c r="A9" s="1">
        <v>8.0</v>
      </c>
      <c r="B9" s="10">
        <v>3.440224600292E12</v>
      </c>
      <c r="C9" s="1" t="s">
        <v>41</v>
      </c>
      <c r="D9" s="1" t="s">
        <v>42</v>
      </c>
      <c r="E9" s="4"/>
      <c r="F9" s="1" t="s">
        <v>43</v>
      </c>
      <c r="G9" s="1" t="s">
        <v>44</v>
      </c>
      <c r="H9" s="1">
        <v>180.0</v>
      </c>
      <c r="I9" s="1">
        <v>100.0</v>
      </c>
      <c r="J9" s="9">
        <v>16.0</v>
      </c>
      <c r="K9" s="9">
        <v>0.6</v>
      </c>
      <c r="L9" s="9">
        <v>2.0</v>
      </c>
      <c r="M9" s="9">
        <v>1.0</v>
      </c>
      <c r="N9" s="9">
        <v>19.0</v>
      </c>
      <c r="O9" s="4"/>
    </row>
    <row r="10">
      <c r="A10" s="1">
        <v>9.0</v>
      </c>
      <c r="B10" s="10">
        <v>8.991998119985E12</v>
      </c>
      <c r="C10" s="1" t="s">
        <v>45</v>
      </c>
      <c r="D10" s="1" t="s">
        <v>46</v>
      </c>
      <c r="E10" s="4"/>
      <c r="F10" s="1" t="s">
        <v>43</v>
      </c>
      <c r="G10" s="1" t="s">
        <v>47</v>
      </c>
      <c r="H10" s="1">
        <v>200.0</v>
      </c>
      <c r="I10" s="13"/>
      <c r="J10" s="14"/>
      <c r="K10" s="14"/>
      <c r="L10" s="14"/>
      <c r="M10" s="14"/>
      <c r="N10" s="14"/>
      <c r="O10" s="4"/>
    </row>
    <row r="11">
      <c r="A11" s="1">
        <v>10.0</v>
      </c>
      <c r="B11" s="4"/>
      <c r="C11" s="1" t="s">
        <v>48</v>
      </c>
      <c r="D11" s="1" t="s">
        <v>49</v>
      </c>
      <c r="E11" s="4"/>
      <c r="F11" s="1" t="s">
        <v>43</v>
      </c>
      <c r="G11" s="1" t="s">
        <v>50</v>
      </c>
      <c r="H11" s="4"/>
      <c r="I11" s="13"/>
      <c r="J11" s="14"/>
      <c r="K11" s="14"/>
      <c r="L11" s="14"/>
      <c r="M11" s="14"/>
      <c r="N11" s="14"/>
      <c r="O11" s="4"/>
    </row>
    <row r="12">
      <c r="A12" s="1">
        <v>11.0</v>
      </c>
      <c r="B12" s="10">
        <v>8.994096112643E12</v>
      </c>
      <c r="C12" s="1" t="s">
        <v>51</v>
      </c>
      <c r="D12" s="1" t="s">
        <v>52</v>
      </c>
      <c r="E12" s="4"/>
      <c r="F12" s="1" t="s">
        <v>43</v>
      </c>
      <c r="G12" s="1" t="s">
        <v>53</v>
      </c>
      <c r="H12" s="1">
        <v>210.0</v>
      </c>
      <c r="I12" s="1">
        <v>65.0</v>
      </c>
      <c r="J12" s="9">
        <v>10.0</v>
      </c>
      <c r="K12" s="14"/>
      <c r="L12" s="9">
        <v>46143.0</v>
      </c>
      <c r="M12" s="9">
        <v>1.0</v>
      </c>
      <c r="N12" s="9">
        <v>11.0</v>
      </c>
      <c r="O12" s="4"/>
    </row>
    <row r="13">
      <c r="A13" s="1">
        <v>12.0</v>
      </c>
      <c r="B13" s="10">
        <v>8.9686870022E10</v>
      </c>
      <c r="C13" s="1" t="s">
        <v>54</v>
      </c>
      <c r="D13" s="1" t="s">
        <v>55</v>
      </c>
      <c r="E13" s="4"/>
      <c r="F13" s="5" t="s">
        <v>18</v>
      </c>
      <c r="G13" s="1" t="s">
        <v>56</v>
      </c>
      <c r="H13" s="1">
        <v>350.0</v>
      </c>
      <c r="I13" s="1">
        <v>32.0</v>
      </c>
      <c r="J13" s="1">
        <f>MULTIPLY(8,3.5)</f>
        <v>28</v>
      </c>
      <c r="K13" s="1">
        <v>6.0</v>
      </c>
      <c r="L13" s="1">
        <v>0.0</v>
      </c>
      <c r="M13" s="1">
        <v>0.0</v>
      </c>
      <c r="N13" s="1">
        <v>8.4</v>
      </c>
      <c r="O13" s="1" t="s">
        <v>57</v>
      </c>
    </row>
    <row r="14">
      <c r="A14" s="1">
        <v>13.0</v>
      </c>
      <c r="B14" s="10">
        <v>8.991002121003E12</v>
      </c>
      <c r="C14" s="1" t="s">
        <v>58</v>
      </c>
      <c r="D14" s="1" t="s">
        <v>59</v>
      </c>
      <c r="E14" s="4"/>
      <c r="F14" s="1" t="s">
        <v>43</v>
      </c>
      <c r="G14" s="1" t="s">
        <v>60</v>
      </c>
      <c r="H14" s="1">
        <v>250.0</v>
      </c>
      <c r="I14" s="1">
        <v>150.0</v>
      </c>
      <c r="J14" s="1">
        <v>20.0</v>
      </c>
      <c r="K14" s="1">
        <v>0.75</v>
      </c>
      <c r="L14" s="1">
        <v>3.0</v>
      </c>
      <c r="M14" s="1">
        <v>0.0</v>
      </c>
      <c r="N14" s="1">
        <v>30.0</v>
      </c>
      <c r="O14" s="4"/>
    </row>
    <row r="15">
      <c r="A15" s="1">
        <v>14.0</v>
      </c>
      <c r="B15" s="10">
        <v>8.99100212101E12</v>
      </c>
      <c r="C15" s="1" t="s">
        <v>61</v>
      </c>
      <c r="D15" s="1" t="s">
        <v>62</v>
      </c>
      <c r="E15" s="4"/>
      <c r="F15" s="1" t="s">
        <v>43</v>
      </c>
      <c r="G15" s="1" t="s">
        <v>63</v>
      </c>
      <c r="H15" s="1">
        <v>250.0</v>
      </c>
      <c r="I15" s="1">
        <f>MULTIPLY(60,2.5)</f>
        <v>150</v>
      </c>
      <c r="J15" s="4">
        <f>MULTIPLY(8.8,2.5)</f>
        <v>22</v>
      </c>
      <c r="K15" s="4">
        <f>MULTIPLY(0.0128,2.5)</f>
        <v>0.032</v>
      </c>
      <c r="L15" s="4">
        <f>MULTIPLY(0.8,2.5)</f>
        <v>2</v>
      </c>
      <c r="M15" s="4">
        <f>MULTIPLY(0.4,2.5)</f>
        <v>1</v>
      </c>
      <c r="N15" s="4">
        <f>MULTIPLY(12.8,2.5)</f>
        <v>32</v>
      </c>
      <c r="O15" s="4"/>
    </row>
    <row r="16">
      <c r="A16" s="1">
        <v>15.0</v>
      </c>
      <c r="B16" s="4"/>
      <c r="C16" s="1" t="s">
        <v>64</v>
      </c>
      <c r="D16" s="1" t="s">
        <v>65</v>
      </c>
      <c r="E16" s="4"/>
      <c r="F16" s="1" t="s">
        <v>43</v>
      </c>
      <c r="G16" s="1" t="s">
        <v>66</v>
      </c>
      <c r="H16" s="1">
        <v>250.0</v>
      </c>
      <c r="I16" s="4"/>
      <c r="J16" s="4"/>
      <c r="K16" s="4"/>
      <c r="L16" s="4"/>
      <c r="M16" s="4"/>
      <c r="N16" s="4"/>
      <c r="O16" s="4"/>
    </row>
    <row r="17">
      <c r="A17" s="1">
        <v>16.0</v>
      </c>
      <c r="B17" s="1">
        <v>8.996001600221E12</v>
      </c>
      <c r="C17" s="1" t="s">
        <v>67</v>
      </c>
      <c r="D17" s="1" t="s">
        <v>68</v>
      </c>
      <c r="E17" s="4"/>
      <c r="F17" s="1" t="s">
        <v>43</v>
      </c>
      <c r="G17" s="1" t="s">
        <v>69</v>
      </c>
      <c r="H17" s="1">
        <v>240.0</v>
      </c>
      <c r="I17" s="1">
        <v>140.0</v>
      </c>
      <c r="J17" s="1">
        <v>20.0</v>
      </c>
      <c r="K17" s="1">
        <v>0.12</v>
      </c>
      <c r="L17" s="1">
        <v>3.0</v>
      </c>
      <c r="M17" s="1">
        <v>3.0</v>
      </c>
      <c r="N17" s="1">
        <v>26.0</v>
      </c>
      <c r="O17" s="4"/>
    </row>
    <row r="18">
      <c r="A18" s="1">
        <v>17.0</v>
      </c>
      <c r="B18" s="4"/>
      <c r="C18" s="1" t="s">
        <v>70</v>
      </c>
      <c r="D18" s="1" t="s">
        <v>71</v>
      </c>
      <c r="E18" s="4"/>
      <c r="F18" s="1" t="s">
        <v>43</v>
      </c>
      <c r="G18" s="1" t="s">
        <v>72</v>
      </c>
      <c r="H18" s="4"/>
      <c r="I18" s="4"/>
      <c r="J18" s="4"/>
      <c r="K18" s="4"/>
      <c r="L18" s="4"/>
      <c r="M18" s="4"/>
      <c r="N18" s="4"/>
      <c r="O18" s="4"/>
    </row>
    <row r="19">
      <c r="A19" s="1">
        <v>18.0</v>
      </c>
      <c r="B19" s="10">
        <v>9.556001288547E12</v>
      </c>
      <c r="C19" s="1" t="s">
        <v>73</v>
      </c>
      <c r="D19" s="1" t="s">
        <v>74</v>
      </c>
      <c r="E19" s="4"/>
      <c r="F19" s="1" t="s">
        <v>43</v>
      </c>
      <c r="G19" s="1" t="s">
        <v>75</v>
      </c>
      <c r="H19" s="1">
        <v>220.0</v>
      </c>
      <c r="I19" s="1">
        <v>120.0</v>
      </c>
      <c r="J19" s="1">
        <v>12.0</v>
      </c>
      <c r="K19" s="1">
        <v>0.13</v>
      </c>
      <c r="L19" s="4">
        <f>MULTIPLY(1.82,2.2)</f>
        <v>4.004</v>
      </c>
      <c r="M19" s="4">
        <f>MULTIPLY(0.9,2.2)</f>
        <v>1.98</v>
      </c>
      <c r="N19" s="4">
        <f>MULTIPLY(9,2.2)</f>
        <v>19.8</v>
      </c>
      <c r="O19" s="4"/>
    </row>
    <row r="20">
      <c r="A20" s="1">
        <v>19.0</v>
      </c>
      <c r="B20" s="10">
        <v>8.998009010569E12</v>
      </c>
      <c r="C20" s="1" t="s">
        <v>76</v>
      </c>
      <c r="D20" s="1" t="s">
        <v>77</v>
      </c>
      <c r="E20" s="4"/>
      <c r="F20" s="1" t="s">
        <v>78</v>
      </c>
      <c r="G20" s="1" t="s">
        <v>79</v>
      </c>
      <c r="H20" s="1">
        <v>200.0</v>
      </c>
      <c r="I20" s="4">
        <f>MULTIPLY(80,2)</f>
        <v>160</v>
      </c>
      <c r="J20" s="4">
        <f>MULTIPLY(9.5,2)</f>
        <v>19</v>
      </c>
      <c r="K20" s="4">
        <f>MULTIPLY(2,0.009)</f>
        <v>0.018</v>
      </c>
      <c r="L20" s="1">
        <v>4.0</v>
      </c>
      <c r="M20" s="1">
        <v>6.0</v>
      </c>
      <c r="N20" s="1">
        <v>24.0</v>
      </c>
      <c r="O20" s="4"/>
    </row>
    <row r="21">
      <c r="A21" s="1">
        <v>20.0</v>
      </c>
      <c r="B21" s="1">
        <v>8.998009010576E12</v>
      </c>
      <c r="C21" s="1" t="s">
        <v>80</v>
      </c>
      <c r="D21" s="1" t="s">
        <v>81</v>
      </c>
      <c r="E21" s="4"/>
      <c r="F21" s="1" t="s">
        <v>78</v>
      </c>
      <c r="G21" s="1" t="s">
        <v>82</v>
      </c>
      <c r="H21" s="1">
        <v>200.0</v>
      </c>
      <c r="I21" s="1">
        <v>150.0</v>
      </c>
      <c r="J21" s="1">
        <v>13.0</v>
      </c>
      <c r="K21" s="1">
        <v>0.6</v>
      </c>
      <c r="L21" s="1">
        <v>4.5</v>
      </c>
      <c r="M21" s="1">
        <v>6.0</v>
      </c>
      <c r="N21" s="1">
        <v>22.0</v>
      </c>
      <c r="O21" s="4"/>
    </row>
    <row r="22">
      <c r="A22" s="1">
        <v>21.0</v>
      </c>
      <c r="B22" s="10">
        <v>4.993006666867E12</v>
      </c>
      <c r="C22" s="1" t="s">
        <v>83</v>
      </c>
      <c r="D22" s="1" t="s">
        <v>84</v>
      </c>
      <c r="E22" s="4"/>
      <c r="F22" s="1" t="s">
        <v>78</v>
      </c>
      <c r="G22" s="1" t="s">
        <v>85</v>
      </c>
      <c r="H22" s="1">
        <v>250.0</v>
      </c>
      <c r="I22" s="4"/>
      <c r="J22" s="4"/>
      <c r="K22" s="4"/>
      <c r="L22" s="4"/>
      <c r="M22" s="4"/>
      <c r="N22" s="4"/>
      <c r="O22" s="4"/>
    </row>
    <row r="23">
      <c r="A23" s="1">
        <v>22.0</v>
      </c>
      <c r="B23" s="10">
        <v>8.993200666836E12</v>
      </c>
      <c r="C23" s="1" t="s">
        <v>86</v>
      </c>
      <c r="D23" s="1" t="s">
        <v>87</v>
      </c>
      <c r="E23" s="4"/>
      <c r="F23" s="1" t="s">
        <v>78</v>
      </c>
      <c r="G23" s="1" t="s">
        <v>88</v>
      </c>
      <c r="H23" s="1">
        <v>250.0</v>
      </c>
      <c r="I23" s="4"/>
      <c r="J23" s="4"/>
      <c r="K23" s="4"/>
      <c r="L23" s="4"/>
      <c r="M23" s="4"/>
      <c r="N23" s="4"/>
      <c r="O23" s="4"/>
    </row>
    <row r="24">
      <c r="A24" s="1">
        <v>23.0</v>
      </c>
      <c r="B24" s="10">
        <v>8.993200666928E12</v>
      </c>
      <c r="C24" s="1" t="s">
        <v>89</v>
      </c>
      <c r="D24" s="10" t="s">
        <v>90</v>
      </c>
      <c r="E24" s="4"/>
      <c r="F24" s="1" t="s">
        <v>78</v>
      </c>
      <c r="G24" s="1" t="s">
        <v>91</v>
      </c>
      <c r="H24" s="1">
        <v>250.0</v>
      </c>
      <c r="I24" s="4"/>
      <c r="J24" s="4"/>
      <c r="K24" s="4"/>
      <c r="L24" s="4"/>
      <c r="M24" s="4"/>
      <c r="N24" s="4"/>
      <c r="O24" s="1" t="s">
        <v>37</v>
      </c>
    </row>
    <row r="25">
      <c r="A25" s="1">
        <v>24.0</v>
      </c>
      <c r="B25" s="4"/>
      <c r="C25" s="4"/>
      <c r="D25" s="4"/>
      <c r="E25" s="4"/>
      <c r="F25" s="1"/>
      <c r="G25" s="4"/>
      <c r="H25" s="4"/>
      <c r="I25" s="4"/>
      <c r="J25" s="4"/>
      <c r="K25" s="4"/>
      <c r="L25" s="4"/>
      <c r="M25" s="4"/>
      <c r="N25" s="4"/>
      <c r="O25" s="4"/>
    </row>
    <row r="26">
      <c r="A26" s="1">
        <v>25.0</v>
      </c>
      <c r="B26" s="4"/>
      <c r="C26" s="4"/>
      <c r="D26" s="4"/>
      <c r="E26" s="4"/>
      <c r="F26" s="1"/>
      <c r="G26" s="4"/>
      <c r="H26" s="4"/>
      <c r="I26" s="4"/>
      <c r="J26" s="4"/>
      <c r="K26" s="4"/>
      <c r="L26" s="4"/>
      <c r="M26" s="4"/>
      <c r="N26" s="4"/>
      <c r="O26" s="4"/>
    </row>
  </sheetData>
  <drawing r:id="rId1"/>
</worksheet>
</file>